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APP\CC_Space\ai-roleplay\docs\"/>
    </mc:Choice>
  </mc:AlternateContent>
  <xr:revisionPtr revIDLastSave="0" documentId="13_ncr:1_{1D8FD902-62B3-4AE1-8802-A24B8466C0CB}" xr6:coauthVersionLast="47" xr6:coauthVersionMax="47" xr10:uidLastSave="{00000000-0000-0000-0000-000000000000}"/>
  <bookViews>
    <workbookView xWindow="-98" yWindow="-98" windowWidth="28996" windowHeight="15675" activeTab="2" xr2:uid="{00000000-000D-0000-FFFF-FFFF00000000}"/>
  </bookViews>
  <sheets>
    <sheet name="v0.1.0" sheetId="1" r:id="rId1"/>
    <sheet name="v0.1.1" sheetId="2" r:id="rId2"/>
    <sheet name="汇总" sheetId="3" r:id="rId3"/>
    <sheet name="v0.2.0" sheetId="4" r:id="rId4"/>
  </sheets>
  <calcPr calcId="191029"/>
</workbook>
</file>

<file path=xl/calcChain.xml><?xml version="1.0" encoding="utf-8"?>
<calcChain xmlns="http://schemas.openxmlformats.org/spreadsheetml/2006/main">
  <c r="F4" i="3" l="1"/>
  <c r="E4" i="3"/>
  <c r="D4" i="3"/>
  <c r="C4" i="3"/>
  <c r="G4" i="3" s="1"/>
  <c r="B4" i="3"/>
  <c r="F3" i="3"/>
  <c r="E3" i="3"/>
  <c r="D3" i="3"/>
  <c r="C3" i="3"/>
  <c r="G3" i="3" s="1"/>
  <c r="B3" i="3"/>
  <c r="F2" i="3"/>
  <c r="E2" i="3"/>
  <c r="D2" i="3"/>
  <c r="C2" i="3"/>
  <c r="G2" i="3" s="1"/>
  <c r="B2" i="3"/>
</calcChain>
</file>

<file path=xl/sharedStrings.xml><?xml version="1.0" encoding="utf-8"?>
<sst xmlns="http://schemas.openxmlformats.org/spreadsheetml/2006/main" count="416" uniqueCount="250">
  <si>
    <t>用例编号</t>
  </si>
  <si>
    <t>模块</t>
  </si>
  <si>
    <t>测试项</t>
  </si>
  <si>
    <t>操作步骤</t>
  </si>
  <si>
    <t>预期结果</t>
  </si>
  <si>
    <t>优先级</t>
  </si>
  <si>
    <t>状态</t>
  </si>
  <si>
    <t>实际结果</t>
  </si>
  <si>
    <t>备注</t>
  </si>
  <si>
    <t>T-001-1</t>
  </si>
  <si>
    <t>项目启动</t>
  </si>
  <si>
    <t>Vite 启动</t>
  </si>
  <si>
    <t>运行 npm run dev:vite</t>
  </si>
  <si>
    <t>控制台显示 Local: http://localhost:5173</t>
  </si>
  <si>
    <t>P0</t>
  </si>
  <si>
    <t>通过</t>
  </si>
  <si>
    <t>T-001-2</t>
  </si>
  <si>
    <t>Electron 启动</t>
  </si>
  <si>
    <t>运行 npm run dev:electron</t>
  </si>
  <si>
    <t>弹出应用窗口，显示三栏布局</t>
  </si>
  <si>
    <t>T-001-3</t>
  </si>
  <si>
    <t>窗口大小</t>
  </si>
  <si>
    <t>拖拽调整窗口大小</t>
  </si>
  <si>
    <t>布局自适应，无错位</t>
  </si>
  <si>
    <t>P1</t>
  </si>
  <si>
    <t>T-002-1</t>
  </si>
  <si>
    <t>侧边栏</t>
  </si>
  <si>
    <t>Tab 切换</t>
  </si>
  <si>
    <t>点击会话、角色、设置三个 Tab</t>
  </si>
  <si>
    <t>正确切换，高亮当前 Tab</t>
  </si>
  <si>
    <t>T-002-2</t>
  </si>
  <si>
    <t>新建会话</t>
  </si>
  <si>
    <t>点击"+ 新建" → 输入名称 → 点击"创建"</t>
  </si>
  <si>
    <t>会话列表出现新会话</t>
  </si>
  <si>
    <t>v0.1.1 已修复</t>
  </si>
  <si>
    <t>T-002-3</t>
  </si>
  <si>
    <t>取消新建</t>
  </si>
  <si>
    <t>点击"+ 新建" → 点击"取消"</t>
  </si>
  <si>
    <t>输入框消失</t>
  </si>
  <si>
    <t>P2</t>
  </si>
  <si>
    <t>T-002-4</t>
  </si>
  <si>
    <t>添加角色</t>
  </si>
  <si>
    <t>切换到角色 Tab → 点击"+ 添加"</t>
  </si>
  <si>
    <t>角色列表出现新角色</t>
  </si>
  <si>
    <t>T-002-5</t>
  </si>
  <si>
    <t>删除角色</t>
  </si>
  <si>
    <t>点击角色右侧删除按钮</t>
  </si>
  <si>
    <t>角色从列表移除</t>
  </si>
  <si>
    <t>T-003-1</t>
  </si>
  <si>
    <t>聊天区域</t>
  </si>
  <si>
    <t>空状态</t>
  </si>
  <si>
    <t>无会话时查看聊天区</t>
  </si>
  <si>
    <t>显示"开始你的故事"提示</t>
  </si>
  <si>
    <t>T-003-2</t>
  </si>
  <si>
    <t>发送消息</t>
  </si>
  <si>
    <t>输入文字 → 点击发送或按 Enter</t>
  </si>
  <si>
    <t>消息出现在聊天区</t>
  </si>
  <si>
    <t>T-003-3</t>
  </si>
  <si>
    <t>换行</t>
  </si>
  <si>
    <t>输入文字 → 按 Shift+Enter</t>
  </si>
  <si>
    <t>文本换行，不发送</t>
  </si>
  <si>
    <t>T-003-4</t>
  </si>
  <si>
    <t>发言身份选择</t>
  </si>
  <si>
    <t>点击用户、角色名等按钮</t>
  </si>
  <si>
    <t>切换发言身份，高亮显示</t>
  </si>
  <si>
    <t>T-003-5</t>
  </si>
  <si>
    <t>GM 模式切换</t>
  </si>
  <si>
    <t>点击 GM 模式按钮</t>
  </si>
  <si>
    <t>输入框变为 GM 叙述模式</t>
  </si>
  <si>
    <t>T-003-6</t>
  </si>
  <si>
    <t>模式标签</t>
  </si>
  <si>
    <t>点击切换自由模式</t>
  </si>
  <si>
    <t>顶部标签显示自由群聊</t>
  </si>
  <si>
    <t>v0.1.1 已修复联动</t>
  </si>
  <si>
    <t>T-003-7</t>
  </si>
  <si>
    <t>消息滚动</t>
  </si>
  <si>
    <t>发送多条消息</t>
  </si>
  <si>
    <t>自动滚动到最新消息</t>
  </si>
  <si>
    <t>T-004-1</t>
  </si>
  <si>
    <t>消息气泡</t>
  </si>
  <si>
    <t>用户消息</t>
  </si>
  <si>
    <t>以用户身份发送消息</t>
  </si>
  <si>
    <t>气泡靠右，蓝色背景</t>
  </si>
  <si>
    <t>T-004-2</t>
  </si>
  <si>
    <t>AI 角色消息</t>
  </si>
  <si>
    <t>以某角色身份发送消息</t>
  </si>
  <si>
    <t>气泡靠左，显示角色头像和名称</t>
  </si>
  <si>
    <t>T-004-3</t>
  </si>
  <si>
    <t>GM 叙述</t>
  </si>
  <si>
    <t>切换 GM 模式 → 发送消息</t>
  </si>
  <si>
    <t>粉色左边框，GM·叙述标签</t>
  </si>
  <si>
    <t>T-004-4</t>
  </si>
  <si>
    <t>角色颜色区分</t>
  </si>
  <si>
    <t>添加 3+ 角色，分别发送消息</t>
  </si>
  <si>
    <t>每个角色气泡颜色不同</t>
  </si>
  <si>
    <t>T-005-1</t>
  </si>
  <si>
    <t>右侧面板</t>
  </si>
  <si>
    <t>点击世界、角色、信息三个 Tab</t>
  </si>
  <si>
    <t>正确切换</t>
  </si>
  <si>
    <t>T-005-2</t>
  </si>
  <si>
    <t>世界设定</t>
  </si>
  <si>
    <t>查看世界 Tab</t>
  </si>
  <si>
    <t>显示世界名称、描述</t>
  </si>
  <si>
    <t>T-005-3</t>
  </si>
  <si>
    <t>世界状态编辑</t>
  </si>
  <si>
    <t>修改时间、地点、环境输入框</t>
  </si>
  <si>
    <t>值可以修改</t>
  </si>
  <si>
    <t>T-005-4</t>
  </si>
  <si>
    <t>面板收起</t>
  </si>
  <si>
    <t>点击聊天区顶部面板按钮</t>
  </si>
  <si>
    <t>右侧面板收起/展开</t>
  </si>
  <si>
    <t>T-UI-1</t>
  </si>
  <si>
    <t>界面外观</t>
  </si>
  <si>
    <t>整体风格</t>
  </si>
  <si>
    <t>打开应用，观察整体界面</t>
  </si>
  <si>
    <t>现代简洁风格</t>
  </si>
  <si>
    <t>跳过</t>
  </si>
  <si>
    <t>T-UI-2</t>
  </si>
  <si>
    <t>暗色主题</t>
  </si>
  <si>
    <t>观察背景、文字、边框颜色</t>
  </si>
  <si>
    <t>深蓝黑背景，文字清晰可读</t>
  </si>
  <si>
    <t>T-UI-3</t>
  </si>
  <si>
    <t>圆角一致性</t>
  </si>
  <si>
    <t>检查卡片、按钮、输入框、气泡</t>
  </si>
  <si>
    <t>统一使用圆角</t>
  </si>
  <si>
    <t>T-UI-4</t>
  </si>
  <si>
    <t>消息淡入动画</t>
  </si>
  <si>
    <t>新消息出现时观察</t>
  </si>
  <si>
    <t>有淡入 + 上滑动画</t>
  </si>
  <si>
    <t>失败</t>
  </si>
  <si>
    <t>T-UI-5</t>
  </si>
  <si>
    <t>打字指示器</t>
  </si>
  <si>
    <t>AI 回复时观察指示器</t>
  </si>
  <si>
    <t>三个点脉冲动画流畅</t>
  </si>
  <si>
    <t>T-UI-6</t>
  </si>
  <si>
    <t>按钮交互反馈</t>
  </si>
  <si>
    <t>hover 各按钮</t>
  </si>
  <si>
    <t>有颜色变化反馈</t>
  </si>
  <si>
    <t>T-007-1</t>
  </si>
  <si>
    <t>数据持久化</t>
  </si>
  <si>
    <t>SQLite 初始化</t>
  </si>
  <si>
    <t>首次启动应用</t>
  </si>
  <si>
    <t>数据库文件在 userData 目录创建</t>
  </si>
  <si>
    <t>我不知道userdata在哪，我们现在还会有这个文件夹吗，不过持久化确实是实现了</t>
  </si>
  <si>
    <t>T-007-2</t>
  </si>
  <si>
    <t>会话持久化</t>
  </si>
  <si>
    <t>创建会话 → 关闭应用 → 重新打开</t>
  </si>
  <si>
    <t>侧边栏会话列表仍显示之前的会话</t>
  </si>
  <si>
    <t>T-007-3</t>
  </si>
  <si>
    <t>角色持久化</t>
  </si>
  <si>
    <t>添加角色 → 关闭应用 → 重新打开</t>
  </si>
  <si>
    <t>角色仍存在</t>
  </si>
  <si>
    <t>T-007-4</t>
  </si>
  <si>
    <t>消息持久化</t>
  </si>
  <si>
    <t>创建会话 → 发送消息 → 重启 → 加载会话</t>
  </si>
  <si>
    <t>消息记录完整恢复</t>
  </si>
  <si>
    <t>T-007-5</t>
  </si>
  <si>
    <t>会话列表</t>
  </si>
  <si>
    <t>创建多个会话</t>
  </si>
  <si>
    <t>侧边栏显示所有会话，可点击切换</t>
  </si>
  <si>
    <t>T-007-6</t>
  </si>
  <si>
    <t>会话删除</t>
  </si>
  <si>
    <t>鼠标悬停会话 → 点击删除</t>
  </si>
  <si>
    <t>会话从列表移除，数据库中也删除</t>
  </si>
  <si>
    <t>T-008-1</t>
  </si>
  <si>
    <t>新建会话不覆盖</t>
  </si>
  <si>
    <t>创建会话 A → 再创建会话 B</t>
  </si>
  <si>
    <t>侧边栏同时显示 A 和 B</t>
  </si>
  <si>
    <t>T-008-2</t>
  </si>
  <si>
    <t>切换会话</t>
  </si>
  <si>
    <t>点击侧边栏中的不同会话</t>
  </si>
  <si>
    <t>聊天区切换到对应会话的消息</t>
  </si>
  <si>
    <t>T-008-3</t>
  </si>
  <si>
    <t>会话信息更新</t>
  </si>
  <si>
    <t>观察会话列表的名称和更新时间</t>
  </si>
  <si>
    <t>信息准确</t>
  </si>
  <si>
    <t>只要点击会话，就算没有做任何操作，还是会更新到当前时间</t>
  </si>
  <si>
    <t>T-009-1</t>
  </si>
  <si>
    <t>GM 联动</t>
  </si>
  <si>
    <t>模式到角色联动</t>
  </si>
  <si>
    <t>模式变自由群聊，用户角色自动变玩家</t>
  </si>
  <si>
    <t>T-009-2</t>
  </si>
  <si>
    <t>模式到角色联动(反向)</t>
  </si>
  <si>
    <t>点击切换GM模式</t>
  </si>
  <si>
    <t>模式变GM主导，用户角色自动变GM</t>
  </si>
  <si>
    <t>T-009-3</t>
  </si>
  <si>
    <t>角色到模式联动</t>
  </si>
  <si>
    <t>玩家模式下点击GM模式按钮</t>
  </si>
  <si>
    <t>用户角色变GM，模式自动切回GM主导</t>
  </si>
  <si>
    <t>版本</t>
  </si>
  <si>
    <t>总用例数</t>
  </si>
  <si>
    <t>已执行</t>
  </si>
  <si>
    <t>通过率</t>
  </si>
  <si>
    <t>v0.1.0</t>
  </si>
  <si>
    <t>v0.1.1</t>
  </si>
  <si>
    <t>v0.2.0</t>
  </si>
  <si>
    <t>T-020-1</t>
  </si>
  <si>
    <t>主题</t>
  </si>
  <si>
    <t>默认暗色主题</t>
  </si>
  <si>
    <t>显示暗色主题</t>
  </si>
  <si>
    <t>T-020-2</t>
  </si>
  <si>
    <t>切换亮色</t>
  </si>
  <si>
    <t>设置→点击浅色</t>
  </si>
  <si>
    <t>界面切换为亮色，过渡平滑</t>
  </si>
  <si>
    <t>T-020-3</t>
  </si>
  <si>
    <t>亮色持久化</t>
  </si>
  <si>
    <t>切换亮色→重启</t>
  </si>
  <si>
    <t>仍为亮色</t>
  </si>
  <si>
    <t>未实现持久化</t>
  </si>
  <si>
    <t>T-021-1</t>
  </si>
  <si>
    <t>API配置</t>
  </si>
  <si>
    <t>添加配置</t>
  </si>
  <si>
    <t>设置→添加→填写→保存</t>
  </si>
  <si>
    <t>列表出现新配置</t>
  </si>
  <si>
    <t>T-021-2</t>
  </si>
  <si>
    <t>切换配置</t>
  </si>
  <si>
    <t>点击不同配置</t>
  </si>
  <si>
    <t>高亮切换</t>
  </si>
  <si>
    <t>T-021-3</t>
  </si>
  <si>
    <t>删除配置</t>
  </si>
  <si>
    <t>点击删除按钮</t>
  </si>
  <si>
    <t>配置移除</t>
  </si>
  <si>
    <t>T-022-1</t>
  </si>
  <si>
    <t>角色编辑</t>
  </si>
  <si>
    <t>新建角色</t>
  </si>
  <si>
    <t>侧边栏→角色→添加→编辑→保存</t>
  </si>
  <si>
    <t>角色库出现新角色</t>
  </si>
  <si>
    <t>T-022-2</t>
  </si>
  <si>
    <t>编辑角色</t>
  </si>
  <si>
    <t>点击角色→修改字段→保存</t>
  </si>
  <si>
    <t>角色信息更新</t>
  </si>
  <si>
    <t>T-022-3</t>
  </si>
  <si>
    <t>加入会话</t>
  </si>
  <si>
    <t>角色列表中点击加入会话</t>
  </si>
  <si>
    <t>角色出现在右侧面板角色列表</t>
  </si>
  <si>
    <t>T-023-1</t>
  </si>
  <si>
    <t>单角色对话</t>
  </si>
  <si>
    <t>角色加入会话→切换发言身份→发消息</t>
  </si>
  <si>
    <t>AI 以角色身份回复</t>
  </si>
  <si>
    <t>T-023-2</t>
  </si>
  <si>
    <t>流式输出</t>
  </si>
  <si>
    <t>观察 AI 回复过程</t>
  </si>
  <si>
    <t>文字逐字出现</t>
  </si>
  <si>
    <t>T-023-3</t>
  </si>
  <si>
    <t>角色一致性</t>
  </si>
  <si>
    <t>连续对话 5 轮</t>
  </si>
  <si>
    <t>角色保持性格一致</t>
  </si>
  <si>
    <t>重启后变成黑色</t>
    <phoneticPr fontId="3" type="noConversion"/>
  </si>
  <si>
    <t>但是所有角色会自动出现在底部的发言身份那里，不确定是bug还是逻辑问题，还有，角色加入右侧面板后不能从面板上删除</t>
    <phoneticPr fontId="3" type="noConversion"/>
  </si>
  <si>
    <r>
      <rPr>
        <sz val="11"/>
        <color rgb="FFF0F0F5"/>
        <rFont val="微软雅黑"/>
        <family val="2"/>
        <charset val="134"/>
      </rPr>
      <t>需配置</t>
    </r>
    <r>
      <rPr>
        <sz val="11"/>
        <color rgb="FFF0F0F5"/>
        <rFont val="Arial"/>
        <family val="2"/>
      </rPr>
      <t xml:space="preserve"> API Key</t>
    </r>
    <r>
      <rPr>
        <sz val="11"/>
        <color rgb="FFF0F0F5"/>
        <rFont val="宋体"/>
        <family val="2"/>
        <charset val="134"/>
      </rPr>
      <t>，配置后</t>
    </r>
    <r>
      <rPr>
        <sz val="11"/>
        <color rgb="FFF0F0F5"/>
        <rFont val="Arial"/>
        <family val="2"/>
      </rPr>
      <t>ai</t>
    </r>
    <r>
      <rPr>
        <sz val="11"/>
        <color rgb="FFF0F0F5"/>
        <rFont val="宋体"/>
        <family val="2"/>
        <charset val="134"/>
      </rPr>
      <t>对话没有反应。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</si>
</sst>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3" x14ac:knownFonts="1">
    <font>
      <sz val="11"/>
      <color theme="1"/>
      <name val="宋体"/>
      <family val="2"/>
      <scheme val="minor"/>
    </font>
    <font>
      <b/>
      <sz val="11"/>
      <color rgb="FFF0F0F5"/>
      <name val="Arial"/>
    </font>
    <font>
      <sz val="11"/>
      <color rgb="FFF0F0F5"/>
      <name val="Arial"/>
    </font>
    <font>
      <sz val="9"/>
      <name val="宋体"/>
      <family val="3"/>
      <charset val="134"/>
      <scheme val="minor"/>
    </font>
    <font>
      <sz val="11"/>
      <color rgb="FFF0F0F5"/>
      <name val="Arial"/>
      <family val="2"/>
      <charset val="134"/>
    </font>
    <font>
      <sz val="11"/>
      <color rgb="FFF0F0F5"/>
      <name val="宋体"/>
      <family val="3"/>
      <charset val="134"/>
    </font>
    <font>
      <sz val="11"/>
      <color rgb="FFF0F0F5"/>
      <name val="Arial"/>
      <family val="3"/>
      <charset val="134"/>
    </font>
    <font>
      <sz val="11"/>
      <color rgb="FFF0F0F5"/>
      <name val="Arial"/>
    </font>
    <font>
      <b/>
      <sz val="11"/>
      <color rgb="FFF0F0F5"/>
      <name val="Arial"/>
    </font>
    <font>
      <sz val="11"/>
      <color rgb="FFF0F0F5"/>
      <name val="Arial"/>
    </font>
    <font>
      <sz val="11"/>
      <color rgb="FFF0F0F5"/>
      <name val="微软雅黑"/>
      <family val="2"/>
      <charset val="134"/>
    </font>
    <font>
      <sz val="11"/>
      <color rgb="FFF0F0F5"/>
      <name val="Arial"/>
      <family val="2"/>
    </font>
    <font>
      <sz val="11"/>
      <color rgb="FFF0F0F5"/>
      <name val="宋体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252533"/>
      </patternFill>
    </fill>
    <fill>
      <patternFill patternType="solid">
        <fgColor rgb="FF16161E"/>
      </patternFill>
    </fill>
    <fill>
      <patternFill patternType="solid">
        <fgColor rgb="FF1E1E2A"/>
      </patternFill>
    </fill>
    <fill>
      <patternFill patternType="solid">
        <fgColor rgb="FF16161E"/>
      </patternFill>
    </fill>
    <fill>
      <patternFill patternType="solid">
        <fgColor rgb="FF1E1E2A"/>
      </patternFill>
    </fill>
    <fill>
      <patternFill patternType="solid">
        <fgColor rgb="FF252533"/>
      </patternFill>
    </fill>
    <fill>
      <patternFill patternType="solid">
        <fgColor rgb="FF16161E"/>
      </patternFill>
    </fill>
    <fill>
      <patternFill patternType="solid">
        <fgColor rgb="FF1E1E2A"/>
      </patternFill>
    </fill>
  </fills>
  <borders count="4">
    <border>
      <left/>
      <right/>
      <top/>
      <bottom/>
      <diagonal/>
    </border>
    <border>
      <left style="thin">
        <color rgb="FF2A2A3A"/>
      </left>
      <right style="thin">
        <color rgb="FF2A2A3A"/>
      </right>
      <top style="thin">
        <color rgb="FF2A2A3A"/>
      </top>
      <bottom style="thin">
        <color rgb="FF2A2A3A"/>
      </bottom>
      <diagonal/>
    </border>
    <border>
      <left style="thin">
        <color rgb="FF2A2A3A"/>
      </left>
      <right style="thin">
        <color rgb="FF2A2A3A"/>
      </right>
      <top style="thin">
        <color rgb="FF2A2A3A"/>
      </top>
      <bottom style="thin">
        <color rgb="FF2A2A3A"/>
      </bottom>
      <diagonal/>
    </border>
    <border>
      <left style="thin">
        <color rgb="FF2A2A3A"/>
      </left>
      <right style="thin">
        <color rgb="FF2A2A3A"/>
      </right>
      <top style="thin">
        <color rgb="FF2A2A3A"/>
      </top>
      <bottom style="thin">
        <color rgb="FF2A2A3A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76" fontId="7" fillId="6" borderId="2" xfId="0" applyNumberFormat="1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176" fontId="9" fillId="9" borderId="3" xfId="0" applyNumberFormat="1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vertical="center" wrapText="1"/>
    </xf>
    <xf numFmtId="0" fontId="4" fillId="9" borderId="3" xfId="0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C6CFF"/>
  </sheetPr>
  <dimension ref="A1:I30"/>
  <sheetViews>
    <sheetView workbookViewId="0">
      <pane ySplit="1" topLeftCell="A23" activePane="bottomLeft" state="frozen"/>
      <selection pane="bottomLeft" activeCell="E30" sqref="E30"/>
    </sheetView>
  </sheetViews>
  <sheetFormatPr defaultRowHeight="13.5" x14ac:dyDescent="0.3"/>
  <cols>
    <col min="1" max="1" width="14" customWidth="1"/>
    <col min="2" max="2" width="18" customWidth="1"/>
    <col min="3" max="3" width="20" customWidth="1"/>
    <col min="4" max="5" width="40" customWidth="1"/>
    <col min="6" max="6" width="8" customWidth="1"/>
    <col min="7" max="7" width="10" customWidth="1"/>
    <col min="8" max="8" width="30" customWidth="1"/>
    <col min="9" max="9" width="20" customWidth="1"/>
  </cols>
  <sheetData>
    <row r="1" spans="1:9" ht="3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48" customHeight="1" x14ac:dyDescent="0.3">
      <c r="A2" s="2" t="s">
        <v>9</v>
      </c>
      <c r="B2" s="2" t="s">
        <v>10</v>
      </c>
      <c r="C2" s="2" t="s">
        <v>11</v>
      </c>
      <c r="D2" s="4" t="s">
        <v>12</v>
      </c>
      <c r="E2" s="2" t="s">
        <v>13</v>
      </c>
      <c r="F2" s="2" t="s">
        <v>14</v>
      </c>
      <c r="G2" s="2" t="s">
        <v>15</v>
      </c>
      <c r="H2" s="2"/>
      <c r="I2" s="2"/>
    </row>
    <row r="3" spans="1:9" ht="48" customHeight="1" x14ac:dyDescent="0.3">
      <c r="A3" s="3" t="s">
        <v>16</v>
      </c>
      <c r="B3" s="3" t="s">
        <v>10</v>
      </c>
      <c r="C3" s="3" t="s">
        <v>17</v>
      </c>
      <c r="D3" s="3" t="s">
        <v>18</v>
      </c>
      <c r="E3" s="3" t="s">
        <v>19</v>
      </c>
      <c r="F3" s="3" t="s">
        <v>14</v>
      </c>
      <c r="G3" s="3" t="s">
        <v>15</v>
      </c>
      <c r="H3" s="3"/>
      <c r="I3" s="3"/>
    </row>
    <row r="4" spans="1:9" ht="48" customHeight="1" x14ac:dyDescent="0.3">
      <c r="A4" s="2" t="s">
        <v>20</v>
      </c>
      <c r="B4" s="2" t="s">
        <v>10</v>
      </c>
      <c r="C4" s="2" t="s">
        <v>21</v>
      </c>
      <c r="D4" s="2" t="s">
        <v>22</v>
      </c>
      <c r="E4" s="2" t="s">
        <v>23</v>
      </c>
      <c r="F4" s="2" t="s">
        <v>24</v>
      </c>
      <c r="G4" s="2" t="s">
        <v>15</v>
      </c>
      <c r="H4" s="2"/>
      <c r="I4" s="2"/>
    </row>
    <row r="5" spans="1:9" ht="48" customHeight="1" x14ac:dyDescent="0.3">
      <c r="A5" s="3" t="s">
        <v>25</v>
      </c>
      <c r="B5" s="3" t="s">
        <v>26</v>
      </c>
      <c r="C5" s="3" t="s">
        <v>27</v>
      </c>
      <c r="D5" s="3" t="s">
        <v>28</v>
      </c>
      <c r="E5" s="3" t="s">
        <v>29</v>
      </c>
      <c r="F5" s="3" t="s">
        <v>14</v>
      </c>
      <c r="G5" s="3" t="s">
        <v>15</v>
      </c>
      <c r="H5" s="3"/>
      <c r="I5" s="3"/>
    </row>
    <row r="6" spans="1:9" ht="48" customHeight="1" x14ac:dyDescent="0.3">
      <c r="A6" s="2" t="s">
        <v>30</v>
      </c>
      <c r="B6" s="2" t="s">
        <v>26</v>
      </c>
      <c r="C6" s="2" t="s">
        <v>31</v>
      </c>
      <c r="D6" s="2" t="s">
        <v>32</v>
      </c>
      <c r="E6" s="2" t="s">
        <v>33</v>
      </c>
      <c r="F6" s="2" t="s">
        <v>14</v>
      </c>
      <c r="G6" s="2" t="s">
        <v>15</v>
      </c>
      <c r="H6" s="2"/>
      <c r="I6" s="2" t="s">
        <v>34</v>
      </c>
    </row>
    <row r="7" spans="1:9" ht="48" customHeight="1" x14ac:dyDescent="0.3">
      <c r="A7" s="3" t="s">
        <v>35</v>
      </c>
      <c r="B7" s="3" t="s">
        <v>26</v>
      </c>
      <c r="C7" s="3" t="s">
        <v>36</v>
      </c>
      <c r="D7" s="3" t="s">
        <v>37</v>
      </c>
      <c r="E7" s="3" t="s">
        <v>38</v>
      </c>
      <c r="F7" s="3" t="s">
        <v>39</v>
      </c>
      <c r="G7" s="3" t="s">
        <v>15</v>
      </c>
      <c r="H7" s="3"/>
      <c r="I7" s="3"/>
    </row>
    <row r="8" spans="1:9" ht="48" customHeight="1" x14ac:dyDescent="0.3">
      <c r="A8" s="2" t="s">
        <v>40</v>
      </c>
      <c r="B8" s="2" t="s">
        <v>26</v>
      </c>
      <c r="C8" s="2" t="s">
        <v>41</v>
      </c>
      <c r="D8" s="2" t="s">
        <v>42</v>
      </c>
      <c r="E8" s="2" t="s">
        <v>43</v>
      </c>
      <c r="F8" s="2" t="s">
        <v>14</v>
      </c>
      <c r="G8" s="2" t="s">
        <v>15</v>
      </c>
      <c r="H8" s="2"/>
      <c r="I8" s="2"/>
    </row>
    <row r="9" spans="1:9" ht="48" customHeight="1" x14ac:dyDescent="0.3">
      <c r="A9" s="3" t="s">
        <v>44</v>
      </c>
      <c r="B9" s="3" t="s">
        <v>26</v>
      </c>
      <c r="C9" s="3" t="s">
        <v>45</v>
      </c>
      <c r="D9" s="3" t="s">
        <v>46</v>
      </c>
      <c r="E9" s="3" t="s">
        <v>47</v>
      </c>
      <c r="F9" s="3" t="s">
        <v>24</v>
      </c>
      <c r="G9" s="3" t="s">
        <v>15</v>
      </c>
      <c r="H9" s="3"/>
      <c r="I9" s="3"/>
    </row>
    <row r="10" spans="1:9" ht="48" customHeight="1" x14ac:dyDescent="0.3">
      <c r="A10" s="2" t="s">
        <v>48</v>
      </c>
      <c r="B10" s="2" t="s">
        <v>49</v>
      </c>
      <c r="C10" s="2" t="s">
        <v>50</v>
      </c>
      <c r="D10" s="2" t="s">
        <v>51</v>
      </c>
      <c r="E10" s="2" t="s">
        <v>52</v>
      </c>
      <c r="F10" s="2" t="s">
        <v>24</v>
      </c>
      <c r="G10" s="2" t="s">
        <v>15</v>
      </c>
      <c r="H10" s="2"/>
      <c r="I10" s="2"/>
    </row>
    <row r="11" spans="1:9" ht="48" customHeight="1" x14ac:dyDescent="0.3">
      <c r="A11" s="3" t="s">
        <v>53</v>
      </c>
      <c r="B11" s="3" t="s">
        <v>49</v>
      </c>
      <c r="C11" s="3" t="s">
        <v>54</v>
      </c>
      <c r="D11" s="3" t="s">
        <v>55</v>
      </c>
      <c r="E11" s="3" t="s">
        <v>56</v>
      </c>
      <c r="F11" s="3" t="s">
        <v>14</v>
      </c>
      <c r="G11" s="3" t="s">
        <v>15</v>
      </c>
      <c r="H11" s="3"/>
      <c r="I11" s="3"/>
    </row>
    <row r="12" spans="1:9" ht="48" customHeight="1" x14ac:dyDescent="0.3">
      <c r="A12" s="2" t="s">
        <v>57</v>
      </c>
      <c r="B12" s="2" t="s">
        <v>49</v>
      </c>
      <c r="C12" s="2" t="s">
        <v>58</v>
      </c>
      <c r="D12" s="2" t="s">
        <v>59</v>
      </c>
      <c r="E12" s="2" t="s">
        <v>60</v>
      </c>
      <c r="F12" s="2" t="s">
        <v>24</v>
      </c>
      <c r="G12" s="2" t="s">
        <v>15</v>
      </c>
      <c r="H12" s="2"/>
      <c r="I12" s="2"/>
    </row>
    <row r="13" spans="1:9" ht="48" customHeight="1" x14ac:dyDescent="0.3">
      <c r="A13" s="3" t="s">
        <v>61</v>
      </c>
      <c r="B13" s="3" t="s">
        <v>49</v>
      </c>
      <c r="C13" s="3" t="s">
        <v>62</v>
      </c>
      <c r="D13" s="3" t="s">
        <v>63</v>
      </c>
      <c r="E13" s="3" t="s">
        <v>64</v>
      </c>
      <c r="F13" s="3" t="s">
        <v>14</v>
      </c>
      <c r="G13" s="3" t="s">
        <v>15</v>
      </c>
      <c r="H13" s="3"/>
      <c r="I13" s="3"/>
    </row>
    <row r="14" spans="1:9" ht="48" customHeight="1" x14ac:dyDescent="0.3">
      <c r="A14" s="2" t="s">
        <v>65</v>
      </c>
      <c r="B14" s="2" t="s">
        <v>49</v>
      </c>
      <c r="C14" s="2" t="s">
        <v>66</v>
      </c>
      <c r="D14" s="2" t="s">
        <v>67</v>
      </c>
      <c r="E14" s="2" t="s">
        <v>68</v>
      </c>
      <c r="F14" s="2" t="s">
        <v>14</v>
      </c>
      <c r="G14" s="2" t="s">
        <v>15</v>
      </c>
      <c r="H14" s="2"/>
      <c r="I14" s="2"/>
    </row>
    <row r="15" spans="1:9" ht="48" customHeight="1" x14ac:dyDescent="0.3">
      <c r="A15" s="3" t="s">
        <v>69</v>
      </c>
      <c r="B15" s="3" t="s">
        <v>49</v>
      </c>
      <c r="C15" s="3" t="s">
        <v>70</v>
      </c>
      <c r="D15" s="3" t="s">
        <v>71</v>
      </c>
      <c r="E15" s="3" t="s">
        <v>72</v>
      </c>
      <c r="F15" s="3" t="s">
        <v>24</v>
      </c>
      <c r="G15" s="3" t="s">
        <v>15</v>
      </c>
      <c r="H15" s="3"/>
      <c r="I15" s="3" t="s">
        <v>73</v>
      </c>
    </row>
    <row r="16" spans="1:9" ht="48" customHeight="1" x14ac:dyDescent="0.3">
      <c r="A16" s="2" t="s">
        <v>74</v>
      </c>
      <c r="B16" s="2" t="s">
        <v>49</v>
      </c>
      <c r="C16" s="2" t="s">
        <v>75</v>
      </c>
      <c r="D16" s="2" t="s">
        <v>76</v>
      </c>
      <c r="E16" s="2" t="s">
        <v>77</v>
      </c>
      <c r="F16" s="2" t="s">
        <v>24</v>
      </c>
      <c r="G16" s="2" t="s">
        <v>15</v>
      </c>
      <c r="H16" s="2"/>
      <c r="I16" s="2"/>
    </row>
    <row r="17" spans="1:9" ht="48" customHeight="1" x14ac:dyDescent="0.3">
      <c r="A17" s="3" t="s">
        <v>78</v>
      </c>
      <c r="B17" s="3" t="s">
        <v>79</v>
      </c>
      <c r="C17" s="3" t="s">
        <v>80</v>
      </c>
      <c r="D17" s="3" t="s">
        <v>81</v>
      </c>
      <c r="E17" s="3" t="s">
        <v>82</v>
      </c>
      <c r="F17" s="3" t="s">
        <v>14</v>
      </c>
      <c r="G17" s="3" t="s">
        <v>15</v>
      </c>
      <c r="H17" s="3"/>
      <c r="I17" s="3"/>
    </row>
    <row r="18" spans="1:9" ht="48" customHeight="1" x14ac:dyDescent="0.3">
      <c r="A18" s="2" t="s">
        <v>83</v>
      </c>
      <c r="B18" s="2" t="s">
        <v>79</v>
      </c>
      <c r="C18" s="2" t="s">
        <v>84</v>
      </c>
      <c r="D18" s="2" t="s">
        <v>85</v>
      </c>
      <c r="E18" s="2" t="s">
        <v>86</v>
      </c>
      <c r="F18" s="2" t="s">
        <v>14</v>
      </c>
      <c r="G18" s="2" t="s">
        <v>15</v>
      </c>
      <c r="H18" s="2"/>
      <c r="I18" s="2"/>
    </row>
    <row r="19" spans="1:9" ht="48" customHeight="1" x14ac:dyDescent="0.3">
      <c r="A19" s="3" t="s">
        <v>87</v>
      </c>
      <c r="B19" s="3" t="s">
        <v>79</v>
      </c>
      <c r="C19" s="3" t="s">
        <v>88</v>
      </c>
      <c r="D19" s="3" t="s">
        <v>89</v>
      </c>
      <c r="E19" s="3" t="s">
        <v>90</v>
      </c>
      <c r="F19" s="3" t="s">
        <v>14</v>
      </c>
      <c r="G19" s="3" t="s">
        <v>15</v>
      </c>
      <c r="H19" s="3"/>
      <c r="I19" s="3"/>
    </row>
    <row r="20" spans="1:9" ht="48" customHeight="1" x14ac:dyDescent="0.3">
      <c r="A20" s="2" t="s">
        <v>91</v>
      </c>
      <c r="B20" s="2" t="s">
        <v>79</v>
      </c>
      <c r="C20" s="2" t="s">
        <v>92</v>
      </c>
      <c r="D20" s="2" t="s">
        <v>93</v>
      </c>
      <c r="E20" s="2" t="s">
        <v>94</v>
      </c>
      <c r="F20" s="2" t="s">
        <v>24</v>
      </c>
      <c r="G20" s="2" t="s">
        <v>15</v>
      </c>
      <c r="H20" s="2"/>
      <c r="I20" s="2"/>
    </row>
    <row r="21" spans="1:9" ht="48" customHeight="1" x14ac:dyDescent="0.3">
      <c r="A21" s="3" t="s">
        <v>95</v>
      </c>
      <c r="B21" s="3" t="s">
        <v>96</v>
      </c>
      <c r="C21" s="3" t="s">
        <v>27</v>
      </c>
      <c r="D21" s="3" t="s">
        <v>97</v>
      </c>
      <c r="E21" s="3" t="s">
        <v>98</v>
      </c>
      <c r="F21" s="3" t="s">
        <v>24</v>
      </c>
      <c r="G21" s="3" t="s">
        <v>15</v>
      </c>
      <c r="H21" s="3"/>
      <c r="I21" s="3"/>
    </row>
    <row r="22" spans="1:9" ht="48" customHeight="1" x14ac:dyDescent="0.3">
      <c r="A22" s="2" t="s">
        <v>99</v>
      </c>
      <c r="B22" s="2" t="s">
        <v>96</v>
      </c>
      <c r="C22" s="2" t="s">
        <v>100</v>
      </c>
      <c r="D22" s="2" t="s">
        <v>101</v>
      </c>
      <c r="E22" s="2" t="s">
        <v>102</v>
      </c>
      <c r="F22" s="2" t="s">
        <v>24</v>
      </c>
      <c r="G22" s="2" t="s">
        <v>15</v>
      </c>
      <c r="H22" s="2"/>
      <c r="I22" s="2"/>
    </row>
    <row r="23" spans="1:9" ht="48" customHeight="1" x14ac:dyDescent="0.3">
      <c r="A23" s="3" t="s">
        <v>103</v>
      </c>
      <c r="B23" s="3" t="s">
        <v>96</v>
      </c>
      <c r="C23" s="3" t="s">
        <v>104</v>
      </c>
      <c r="D23" s="3" t="s">
        <v>105</v>
      </c>
      <c r="E23" s="3" t="s">
        <v>106</v>
      </c>
      <c r="F23" s="3" t="s">
        <v>14</v>
      </c>
      <c r="G23" s="3" t="s">
        <v>15</v>
      </c>
      <c r="H23" s="3"/>
      <c r="I23" s="3"/>
    </row>
    <row r="24" spans="1:9" ht="48" customHeight="1" x14ac:dyDescent="0.3">
      <c r="A24" s="2" t="s">
        <v>107</v>
      </c>
      <c r="B24" s="2" t="s">
        <v>96</v>
      </c>
      <c r="C24" s="2" t="s">
        <v>108</v>
      </c>
      <c r="D24" s="2" t="s">
        <v>109</v>
      </c>
      <c r="E24" s="2" t="s">
        <v>110</v>
      </c>
      <c r="F24" s="2" t="s">
        <v>24</v>
      </c>
      <c r="G24" s="2" t="s">
        <v>15</v>
      </c>
      <c r="H24" s="2"/>
      <c r="I24" s="2"/>
    </row>
    <row r="25" spans="1:9" ht="48" customHeight="1" x14ac:dyDescent="0.3">
      <c r="A25" s="3" t="s">
        <v>111</v>
      </c>
      <c r="B25" s="3" t="s">
        <v>112</v>
      </c>
      <c r="C25" s="3" t="s">
        <v>113</v>
      </c>
      <c r="D25" s="3" t="s">
        <v>114</v>
      </c>
      <c r="E25" s="3" t="s">
        <v>115</v>
      </c>
      <c r="F25" s="3" t="s">
        <v>24</v>
      </c>
      <c r="G25" s="3" t="s">
        <v>116</v>
      </c>
      <c r="H25" s="3"/>
      <c r="I25" s="3"/>
    </row>
    <row r="26" spans="1:9" ht="48" customHeight="1" x14ac:dyDescent="0.3">
      <c r="A26" s="2" t="s">
        <v>117</v>
      </c>
      <c r="B26" s="2" t="s">
        <v>112</v>
      </c>
      <c r="C26" s="2" t="s">
        <v>118</v>
      </c>
      <c r="D26" s="2" t="s">
        <v>119</v>
      </c>
      <c r="E26" s="2" t="s">
        <v>120</v>
      </c>
      <c r="F26" s="2" t="s">
        <v>14</v>
      </c>
      <c r="G26" s="2" t="s">
        <v>15</v>
      </c>
      <c r="H26" s="2"/>
      <c r="I26" s="2"/>
    </row>
    <row r="27" spans="1:9" ht="48" customHeight="1" x14ac:dyDescent="0.3">
      <c r="A27" s="3" t="s">
        <v>121</v>
      </c>
      <c r="B27" s="3" t="s">
        <v>112</v>
      </c>
      <c r="C27" s="3" t="s">
        <v>122</v>
      </c>
      <c r="D27" s="3" t="s">
        <v>123</v>
      </c>
      <c r="E27" s="3" t="s">
        <v>124</v>
      </c>
      <c r="F27" s="3" t="s">
        <v>24</v>
      </c>
      <c r="G27" s="3" t="s">
        <v>116</v>
      </c>
      <c r="H27" s="3"/>
      <c r="I27" s="3"/>
    </row>
    <row r="28" spans="1:9" ht="48" customHeight="1" x14ac:dyDescent="0.3">
      <c r="A28" s="2" t="s">
        <v>125</v>
      </c>
      <c r="B28" s="2" t="s">
        <v>112</v>
      </c>
      <c r="C28" s="2" t="s">
        <v>126</v>
      </c>
      <c r="D28" s="2" t="s">
        <v>127</v>
      </c>
      <c r="E28" s="2" t="s">
        <v>128</v>
      </c>
      <c r="F28" s="2" t="s">
        <v>39</v>
      </c>
      <c r="G28" s="2" t="s">
        <v>129</v>
      </c>
      <c r="H28" s="2"/>
      <c r="I28" s="2"/>
    </row>
    <row r="29" spans="1:9" ht="48" customHeight="1" x14ac:dyDescent="0.3">
      <c r="A29" s="3" t="s">
        <v>130</v>
      </c>
      <c r="B29" s="3" t="s">
        <v>112</v>
      </c>
      <c r="C29" s="3" t="s">
        <v>131</v>
      </c>
      <c r="D29" s="3" t="s">
        <v>132</v>
      </c>
      <c r="E29" s="3" t="s">
        <v>133</v>
      </c>
      <c r="F29" s="3" t="s">
        <v>39</v>
      </c>
      <c r="G29" s="3" t="s">
        <v>129</v>
      </c>
      <c r="H29" s="3"/>
      <c r="I29" s="3"/>
    </row>
    <row r="30" spans="1:9" ht="48" customHeight="1" x14ac:dyDescent="0.3">
      <c r="A30" s="2" t="s">
        <v>134</v>
      </c>
      <c r="B30" s="2" t="s">
        <v>112</v>
      </c>
      <c r="C30" s="2" t="s">
        <v>135</v>
      </c>
      <c r="D30" s="2" t="s">
        <v>136</v>
      </c>
      <c r="E30" s="2" t="s">
        <v>137</v>
      </c>
      <c r="F30" s="2" t="s">
        <v>24</v>
      </c>
      <c r="G30" s="2" t="s">
        <v>129</v>
      </c>
      <c r="H30" s="2"/>
      <c r="I30" s="2"/>
    </row>
  </sheetData>
  <phoneticPr fontId="3" type="noConversion"/>
  <dataValidations count="2">
    <dataValidation type="list" allowBlank="1" error="请选择 P0、P1 或 P2" sqref="F2:F30" xr:uid="{00000000-0002-0000-0000-000000000000}">
      <formula1>"P0,P1,P2"</formula1>
    </dataValidation>
    <dataValidation type="list" allowBlank="1" error="请选择有效状态" sqref="G2:G30" xr:uid="{00000000-0002-0000-0000-000001000000}">
      <formula1>"待测试,通过,失败,跳过"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C6CFF"/>
  </sheetPr>
  <dimension ref="A1:I13"/>
  <sheetViews>
    <sheetView workbookViewId="0">
      <pane ySplit="1" topLeftCell="A8" activePane="bottomLeft" state="frozen"/>
      <selection pane="bottomLeft" activeCell="E9" sqref="E9"/>
    </sheetView>
  </sheetViews>
  <sheetFormatPr defaultRowHeight="13.5" x14ac:dyDescent="0.3"/>
  <cols>
    <col min="1" max="1" width="14" customWidth="1"/>
    <col min="2" max="2" width="18" customWidth="1"/>
    <col min="3" max="3" width="20" customWidth="1"/>
    <col min="4" max="5" width="40" customWidth="1"/>
    <col min="6" max="6" width="8" customWidth="1"/>
    <col min="7" max="7" width="10" customWidth="1"/>
    <col min="8" max="8" width="30" customWidth="1"/>
    <col min="9" max="9" width="20" customWidth="1"/>
  </cols>
  <sheetData>
    <row r="1" spans="1:9" ht="3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48" customHeight="1" x14ac:dyDescent="0.3">
      <c r="A2" s="2" t="s">
        <v>138</v>
      </c>
      <c r="B2" s="2" t="s">
        <v>139</v>
      </c>
      <c r="C2" s="2" t="s">
        <v>140</v>
      </c>
      <c r="D2" s="2" t="s">
        <v>141</v>
      </c>
      <c r="E2" s="2" t="s">
        <v>142</v>
      </c>
      <c r="F2" s="2" t="s">
        <v>14</v>
      </c>
      <c r="G2" s="2" t="s">
        <v>15</v>
      </c>
      <c r="H2" s="2"/>
      <c r="I2" s="6" t="s">
        <v>143</v>
      </c>
    </row>
    <row r="3" spans="1:9" ht="48" customHeight="1" x14ac:dyDescent="0.3">
      <c r="A3" s="3" t="s">
        <v>144</v>
      </c>
      <c r="B3" s="3" t="s">
        <v>139</v>
      </c>
      <c r="C3" s="3" t="s">
        <v>145</v>
      </c>
      <c r="D3" s="3" t="s">
        <v>146</v>
      </c>
      <c r="E3" s="3" t="s">
        <v>147</v>
      </c>
      <c r="F3" s="3" t="s">
        <v>14</v>
      </c>
      <c r="G3" s="3" t="s">
        <v>15</v>
      </c>
      <c r="H3" s="3"/>
      <c r="I3" s="3"/>
    </row>
    <row r="4" spans="1:9" ht="48" customHeight="1" x14ac:dyDescent="0.3">
      <c r="A4" s="2" t="s">
        <v>148</v>
      </c>
      <c r="B4" s="2" t="s">
        <v>139</v>
      </c>
      <c r="C4" s="2" t="s">
        <v>149</v>
      </c>
      <c r="D4" s="2" t="s">
        <v>150</v>
      </c>
      <c r="E4" s="2" t="s">
        <v>151</v>
      </c>
      <c r="F4" s="2" t="s">
        <v>14</v>
      </c>
      <c r="G4" s="2" t="s">
        <v>15</v>
      </c>
      <c r="H4" s="2"/>
      <c r="I4" s="2"/>
    </row>
    <row r="5" spans="1:9" ht="48" customHeight="1" x14ac:dyDescent="0.3">
      <c r="A5" s="3" t="s">
        <v>152</v>
      </c>
      <c r="B5" s="3" t="s">
        <v>139</v>
      </c>
      <c r="C5" s="3" t="s">
        <v>153</v>
      </c>
      <c r="D5" s="3" t="s">
        <v>154</v>
      </c>
      <c r="E5" s="3" t="s">
        <v>155</v>
      </c>
      <c r="F5" s="3" t="s">
        <v>14</v>
      </c>
      <c r="G5" s="3" t="s">
        <v>15</v>
      </c>
      <c r="H5" s="3"/>
      <c r="I5" s="3"/>
    </row>
    <row r="6" spans="1:9" ht="48" customHeight="1" x14ac:dyDescent="0.3">
      <c r="A6" s="2" t="s">
        <v>156</v>
      </c>
      <c r="B6" s="2" t="s">
        <v>139</v>
      </c>
      <c r="C6" s="2" t="s">
        <v>157</v>
      </c>
      <c r="D6" s="2" t="s">
        <v>158</v>
      </c>
      <c r="E6" s="2" t="s">
        <v>159</v>
      </c>
      <c r="F6" s="2" t="s">
        <v>14</v>
      </c>
      <c r="G6" s="2" t="s">
        <v>15</v>
      </c>
      <c r="H6" s="2"/>
      <c r="I6" s="2"/>
    </row>
    <row r="7" spans="1:9" ht="48" customHeight="1" x14ac:dyDescent="0.3">
      <c r="A7" s="3" t="s">
        <v>160</v>
      </c>
      <c r="B7" s="3" t="s">
        <v>139</v>
      </c>
      <c r="C7" s="3" t="s">
        <v>161</v>
      </c>
      <c r="D7" s="3" t="s">
        <v>162</v>
      </c>
      <c r="E7" s="3" t="s">
        <v>163</v>
      </c>
      <c r="F7" s="3" t="s">
        <v>24</v>
      </c>
      <c r="G7" s="3" t="s">
        <v>15</v>
      </c>
      <c r="H7" s="3"/>
      <c r="I7" s="3"/>
    </row>
    <row r="8" spans="1:9" ht="48" customHeight="1" x14ac:dyDescent="0.3">
      <c r="A8" s="2" t="s">
        <v>164</v>
      </c>
      <c r="B8" s="2" t="s">
        <v>157</v>
      </c>
      <c r="C8" s="2" t="s">
        <v>165</v>
      </c>
      <c r="D8" s="2" t="s">
        <v>166</v>
      </c>
      <c r="E8" s="2" t="s">
        <v>167</v>
      </c>
      <c r="F8" s="2" t="s">
        <v>14</v>
      </c>
      <c r="G8" s="2" t="s">
        <v>15</v>
      </c>
      <c r="H8" s="2"/>
      <c r="I8" s="2"/>
    </row>
    <row r="9" spans="1:9" ht="48" customHeight="1" x14ac:dyDescent="0.3">
      <c r="A9" s="3" t="s">
        <v>168</v>
      </c>
      <c r="B9" s="3" t="s">
        <v>157</v>
      </c>
      <c r="C9" s="3" t="s">
        <v>169</v>
      </c>
      <c r="D9" s="3" t="s">
        <v>170</v>
      </c>
      <c r="E9" s="3" t="s">
        <v>171</v>
      </c>
      <c r="F9" s="3" t="s">
        <v>14</v>
      </c>
      <c r="G9" s="3" t="s">
        <v>15</v>
      </c>
      <c r="H9" s="3"/>
      <c r="I9" s="3"/>
    </row>
    <row r="10" spans="1:9" ht="48" customHeight="1" x14ac:dyDescent="0.3">
      <c r="A10" s="2" t="s">
        <v>172</v>
      </c>
      <c r="B10" s="2" t="s">
        <v>157</v>
      </c>
      <c r="C10" s="2" t="s">
        <v>173</v>
      </c>
      <c r="D10" s="2" t="s">
        <v>174</v>
      </c>
      <c r="E10" s="2" t="s">
        <v>175</v>
      </c>
      <c r="F10" s="2" t="s">
        <v>39</v>
      </c>
      <c r="G10" s="2" t="s">
        <v>15</v>
      </c>
      <c r="H10" s="2"/>
      <c r="I10" s="5" t="s">
        <v>176</v>
      </c>
    </row>
    <row r="11" spans="1:9" ht="48" customHeight="1" x14ac:dyDescent="0.3">
      <c r="A11" s="3" t="s">
        <v>177</v>
      </c>
      <c r="B11" s="3" t="s">
        <v>178</v>
      </c>
      <c r="C11" s="3" t="s">
        <v>179</v>
      </c>
      <c r="D11" s="3" t="s">
        <v>71</v>
      </c>
      <c r="E11" s="3" t="s">
        <v>180</v>
      </c>
      <c r="F11" s="3" t="s">
        <v>14</v>
      </c>
      <c r="G11" s="3" t="s">
        <v>15</v>
      </c>
      <c r="H11" s="3"/>
      <c r="I11" s="3"/>
    </row>
    <row r="12" spans="1:9" ht="48" customHeight="1" x14ac:dyDescent="0.3">
      <c r="A12" s="2" t="s">
        <v>181</v>
      </c>
      <c r="B12" s="2" t="s">
        <v>178</v>
      </c>
      <c r="C12" s="2" t="s">
        <v>182</v>
      </c>
      <c r="D12" s="2" t="s">
        <v>183</v>
      </c>
      <c r="E12" s="2" t="s">
        <v>184</v>
      </c>
      <c r="F12" s="2" t="s">
        <v>14</v>
      </c>
      <c r="G12" s="2" t="s">
        <v>15</v>
      </c>
      <c r="H12" s="2"/>
      <c r="I12" s="2"/>
    </row>
    <row r="13" spans="1:9" ht="48" customHeight="1" x14ac:dyDescent="0.3">
      <c r="A13" s="3" t="s">
        <v>185</v>
      </c>
      <c r="B13" s="3" t="s">
        <v>178</v>
      </c>
      <c r="C13" s="3" t="s">
        <v>186</v>
      </c>
      <c r="D13" s="3" t="s">
        <v>187</v>
      </c>
      <c r="E13" s="3" t="s">
        <v>188</v>
      </c>
      <c r="F13" s="3" t="s">
        <v>14</v>
      </c>
      <c r="G13" s="3" t="s">
        <v>15</v>
      </c>
      <c r="H13" s="3"/>
      <c r="I13" s="3"/>
    </row>
  </sheetData>
  <phoneticPr fontId="3" type="noConversion"/>
  <dataValidations count="2">
    <dataValidation type="list" allowBlank="1" error="请选择 P0、P1 或 P2" sqref="F2:F13" xr:uid="{00000000-0002-0000-0100-000000000000}">
      <formula1>"P0,P1,P2"</formula1>
    </dataValidation>
    <dataValidation type="list" allowBlank="1" error="请选择有效状态" sqref="G2:G13" xr:uid="{00000000-0002-0000-0100-000001000000}">
      <formula1>"待测试,通过,失败,跳过"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4D399"/>
  </sheetPr>
  <dimension ref="A1:G4"/>
  <sheetViews>
    <sheetView tabSelected="1" workbookViewId="0">
      <selection activeCell="C3" sqref="C3"/>
    </sheetView>
  </sheetViews>
  <sheetFormatPr defaultRowHeight="13.5" x14ac:dyDescent="0.3"/>
  <cols>
    <col min="1" max="7" width="14" customWidth="1"/>
  </cols>
  <sheetData>
    <row r="1" spans="1:7" ht="13.9" customHeight="1" x14ac:dyDescent="0.3">
      <c r="A1" s="1" t="s">
        <v>189</v>
      </c>
      <c r="B1" s="1" t="s">
        <v>190</v>
      </c>
      <c r="C1" s="1" t="s">
        <v>191</v>
      </c>
      <c r="D1" s="1" t="s">
        <v>15</v>
      </c>
      <c r="E1" s="1" t="s">
        <v>129</v>
      </c>
      <c r="F1" s="1" t="s">
        <v>116</v>
      </c>
      <c r="G1" s="1" t="s">
        <v>192</v>
      </c>
    </row>
    <row r="2" spans="1:7" ht="36" customHeight="1" x14ac:dyDescent="0.3">
      <c r="A2" s="7" t="s">
        <v>193</v>
      </c>
      <c r="B2" s="7">
        <f>COUNTA('v0.1.0'!A:A)-1</f>
        <v>29</v>
      </c>
      <c r="C2" s="7">
        <f>COUNTIF('v0.1.0'!G:G,"通过")+COUNTIF('v0.1.0'!G:G,"失败")+COUNTIF('v0.1.0'!G:G,"跳过")</f>
        <v>29</v>
      </c>
      <c r="D2" s="7">
        <f>COUNTIF('v0.1.0'!G:G,"通过")</f>
        <v>24</v>
      </c>
      <c r="E2" s="7">
        <f>COUNTIF('v0.1.0'!G:G,"失败")</f>
        <v>3</v>
      </c>
      <c r="F2" s="7">
        <f>COUNTIF('v0.1.0'!G:G,"跳过")</f>
        <v>2</v>
      </c>
      <c r="G2" s="8">
        <f>IF(C2&gt;0,D2/C2,0)</f>
        <v>0.82758620689655171</v>
      </c>
    </row>
    <row r="3" spans="1:7" ht="36" customHeight="1" x14ac:dyDescent="0.3">
      <c r="A3" s="9" t="s">
        <v>194</v>
      </c>
      <c r="B3" s="9">
        <f>COUNTA('v0.1.1'!A:A)-1</f>
        <v>12</v>
      </c>
      <c r="C3" s="9">
        <f>COUNTIF('v0.1.1'!G:G,"通过")+COUNTIF('v0.1.1'!G:G,"失败")+COUNTIF('v0.1.1'!G:G,"跳过")</f>
        <v>12</v>
      </c>
      <c r="D3" s="9">
        <f>COUNTIF('v0.1.1'!G:G,"通过")</f>
        <v>12</v>
      </c>
      <c r="E3" s="9">
        <f>COUNTIF('v0.1.1'!G:G,"失败")</f>
        <v>0</v>
      </c>
      <c r="F3" s="9">
        <f>COUNTIF('v0.1.1'!G:G,"跳过")</f>
        <v>0</v>
      </c>
      <c r="G3" s="10">
        <f>IF(C3&gt;0,D3/C3,0)</f>
        <v>1</v>
      </c>
    </row>
    <row r="4" spans="1:7" ht="36" customHeight="1" x14ac:dyDescent="0.3">
      <c r="A4" s="11" t="s">
        <v>195</v>
      </c>
      <c r="B4" s="11">
        <f>COUNTA('v0.2.0'!A:A)-1</f>
        <v>12</v>
      </c>
      <c r="C4" s="11">
        <f>COUNTIF('v0.2.0'!G:G,"通过")+COUNTIF('v0.2.0'!G:G,"失败")+COUNTIF('v0.2.0'!G:G,"跳过")</f>
        <v>12</v>
      </c>
      <c r="D4" s="11">
        <f>COUNTIF('v0.2.0'!G:G,"通过")</f>
        <v>8</v>
      </c>
      <c r="E4" s="11">
        <f>COUNTIF('v0.2.0'!G:G,"失败")</f>
        <v>2</v>
      </c>
      <c r="F4" s="11">
        <f>COUNTIF('v0.2.0'!G:G,"跳过")</f>
        <v>2</v>
      </c>
      <c r="G4" s="12">
        <f>IF(C4&gt;0,D4/C4,0)</f>
        <v>0.66666666666666663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C6CFF"/>
  </sheetPr>
  <dimension ref="A1:I13"/>
  <sheetViews>
    <sheetView workbookViewId="0">
      <pane ySplit="1" topLeftCell="A8" activePane="bottomLeft" state="frozen"/>
      <selection pane="bottomLeft" activeCell="G13" sqref="G13"/>
    </sheetView>
  </sheetViews>
  <sheetFormatPr defaultRowHeight="13.5" x14ac:dyDescent="0.3"/>
  <cols>
    <col min="1" max="1" width="14" customWidth="1"/>
    <col min="2" max="2" width="18" customWidth="1"/>
    <col min="3" max="3" width="20" customWidth="1"/>
    <col min="4" max="5" width="40" customWidth="1"/>
    <col min="6" max="6" width="8" customWidth="1"/>
    <col min="7" max="7" width="10" customWidth="1"/>
    <col min="8" max="8" width="30" customWidth="1"/>
    <col min="9" max="9" width="20" customWidth="1"/>
  </cols>
  <sheetData>
    <row r="1" spans="1:9" ht="32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</row>
    <row r="2" spans="1:9" ht="48" customHeight="1" x14ac:dyDescent="0.3">
      <c r="A2" s="14" t="s">
        <v>196</v>
      </c>
      <c r="B2" s="14" t="s">
        <v>197</v>
      </c>
      <c r="C2" s="14" t="s">
        <v>198</v>
      </c>
      <c r="D2" s="14" t="s">
        <v>141</v>
      </c>
      <c r="E2" s="14" t="s">
        <v>199</v>
      </c>
      <c r="F2" s="14" t="s">
        <v>14</v>
      </c>
      <c r="G2" s="14" t="s">
        <v>15</v>
      </c>
      <c r="H2" s="14"/>
      <c r="I2" s="14"/>
    </row>
    <row r="3" spans="1:9" ht="48" customHeight="1" x14ac:dyDescent="0.3">
      <c r="A3" s="15" t="s">
        <v>200</v>
      </c>
      <c r="B3" s="15" t="s">
        <v>197</v>
      </c>
      <c r="C3" s="15" t="s">
        <v>201</v>
      </c>
      <c r="D3" s="15" t="s">
        <v>202</v>
      </c>
      <c r="E3" s="15" t="s">
        <v>203</v>
      </c>
      <c r="F3" s="15" t="s">
        <v>14</v>
      </c>
      <c r="G3" s="15" t="s">
        <v>15</v>
      </c>
      <c r="H3" s="15"/>
      <c r="I3" s="15"/>
    </row>
    <row r="4" spans="1:9" ht="48" customHeight="1" x14ac:dyDescent="0.3">
      <c r="A4" s="14" t="s">
        <v>204</v>
      </c>
      <c r="B4" s="14" t="s">
        <v>197</v>
      </c>
      <c r="C4" s="14" t="s">
        <v>205</v>
      </c>
      <c r="D4" s="14" t="s">
        <v>206</v>
      </c>
      <c r="E4" s="14" t="s">
        <v>207</v>
      </c>
      <c r="F4" s="14" t="s">
        <v>24</v>
      </c>
      <c r="G4" s="14" t="s">
        <v>129</v>
      </c>
      <c r="H4" s="16" t="s">
        <v>247</v>
      </c>
      <c r="I4" s="14" t="s">
        <v>208</v>
      </c>
    </row>
    <row r="5" spans="1:9" ht="48" customHeight="1" x14ac:dyDescent="0.3">
      <c r="A5" s="15" t="s">
        <v>209</v>
      </c>
      <c r="B5" s="15" t="s">
        <v>210</v>
      </c>
      <c r="C5" s="15" t="s">
        <v>211</v>
      </c>
      <c r="D5" s="15" t="s">
        <v>212</v>
      </c>
      <c r="E5" s="15" t="s">
        <v>213</v>
      </c>
      <c r="F5" s="15" t="s">
        <v>14</v>
      </c>
      <c r="G5" s="15" t="s">
        <v>15</v>
      </c>
      <c r="H5" s="15"/>
      <c r="I5" s="15"/>
    </row>
    <row r="6" spans="1:9" ht="48" customHeight="1" x14ac:dyDescent="0.3">
      <c r="A6" s="14" t="s">
        <v>214</v>
      </c>
      <c r="B6" s="14" t="s">
        <v>210</v>
      </c>
      <c r="C6" s="14" t="s">
        <v>215</v>
      </c>
      <c r="D6" s="14" t="s">
        <v>216</v>
      </c>
      <c r="E6" s="14" t="s">
        <v>217</v>
      </c>
      <c r="F6" s="14" t="s">
        <v>24</v>
      </c>
      <c r="G6" s="14" t="s">
        <v>15</v>
      </c>
      <c r="H6" s="14"/>
      <c r="I6" s="14"/>
    </row>
    <row r="7" spans="1:9" ht="48" customHeight="1" x14ac:dyDescent="0.3">
      <c r="A7" s="15" t="s">
        <v>218</v>
      </c>
      <c r="B7" s="15" t="s">
        <v>210</v>
      </c>
      <c r="C7" s="15" t="s">
        <v>219</v>
      </c>
      <c r="D7" s="15" t="s">
        <v>220</v>
      </c>
      <c r="E7" s="15" t="s">
        <v>221</v>
      </c>
      <c r="F7" s="15" t="s">
        <v>24</v>
      </c>
      <c r="G7" s="15" t="s">
        <v>15</v>
      </c>
      <c r="H7" s="15"/>
      <c r="I7" s="15"/>
    </row>
    <row r="8" spans="1:9" ht="48" customHeight="1" x14ac:dyDescent="0.3">
      <c r="A8" s="14" t="s">
        <v>222</v>
      </c>
      <c r="B8" s="14" t="s">
        <v>223</v>
      </c>
      <c r="C8" s="14" t="s">
        <v>224</v>
      </c>
      <c r="D8" s="14" t="s">
        <v>225</v>
      </c>
      <c r="E8" s="14" t="s">
        <v>226</v>
      </c>
      <c r="F8" s="14" t="s">
        <v>14</v>
      </c>
      <c r="G8" s="14" t="s">
        <v>15</v>
      </c>
      <c r="H8" s="14"/>
      <c r="I8" s="14"/>
    </row>
    <row r="9" spans="1:9" ht="48" customHeight="1" x14ac:dyDescent="0.3">
      <c r="A9" s="15" t="s">
        <v>227</v>
      </c>
      <c r="B9" s="15" t="s">
        <v>223</v>
      </c>
      <c r="C9" s="15" t="s">
        <v>228</v>
      </c>
      <c r="D9" s="15" t="s">
        <v>229</v>
      </c>
      <c r="E9" s="15" t="s">
        <v>230</v>
      </c>
      <c r="F9" s="15" t="s">
        <v>24</v>
      </c>
      <c r="G9" s="15" t="s">
        <v>15</v>
      </c>
      <c r="H9" s="15"/>
      <c r="I9" s="15"/>
    </row>
    <row r="10" spans="1:9" ht="48" customHeight="1" x14ac:dyDescent="0.3">
      <c r="A10" s="14" t="s">
        <v>231</v>
      </c>
      <c r="B10" s="14" t="s">
        <v>223</v>
      </c>
      <c r="C10" s="14" t="s">
        <v>232</v>
      </c>
      <c r="D10" s="14" t="s">
        <v>233</v>
      </c>
      <c r="E10" s="14" t="s">
        <v>234</v>
      </c>
      <c r="F10" s="14" t="s">
        <v>14</v>
      </c>
      <c r="G10" s="14" t="s">
        <v>15</v>
      </c>
      <c r="H10" s="14"/>
      <c r="I10" s="16" t="s">
        <v>248</v>
      </c>
    </row>
    <row r="11" spans="1:9" ht="48" customHeight="1" x14ac:dyDescent="0.3">
      <c r="A11" s="15" t="s">
        <v>235</v>
      </c>
      <c r="B11" s="15" t="s">
        <v>236</v>
      </c>
      <c r="C11" s="15" t="s">
        <v>54</v>
      </c>
      <c r="D11" s="15" t="s">
        <v>237</v>
      </c>
      <c r="E11" s="15" t="s">
        <v>238</v>
      </c>
      <c r="F11" s="15" t="s">
        <v>14</v>
      </c>
      <c r="G11" s="15" t="s">
        <v>129</v>
      </c>
      <c r="H11" s="15"/>
      <c r="I11" s="17" t="s">
        <v>249</v>
      </c>
    </row>
    <row r="12" spans="1:9" ht="48" customHeight="1" x14ac:dyDescent="0.3">
      <c r="A12" s="14" t="s">
        <v>239</v>
      </c>
      <c r="B12" s="14" t="s">
        <v>236</v>
      </c>
      <c r="C12" s="14" t="s">
        <v>240</v>
      </c>
      <c r="D12" s="14" t="s">
        <v>241</v>
      </c>
      <c r="E12" s="14" t="s">
        <v>242</v>
      </c>
      <c r="F12" s="14" t="s">
        <v>14</v>
      </c>
      <c r="G12" s="14" t="s">
        <v>116</v>
      </c>
      <c r="H12" s="14"/>
      <c r="I12" s="14"/>
    </row>
    <row r="13" spans="1:9" ht="48" customHeight="1" x14ac:dyDescent="0.3">
      <c r="A13" s="15" t="s">
        <v>243</v>
      </c>
      <c r="B13" s="15" t="s">
        <v>236</v>
      </c>
      <c r="C13" s="15" t="s">
        <v>244</v>
      </c>
      <c r="D13" s="15" t="s">
        <v>245</v>
      </c>
      <c r="E13" s="15" t="s">
        <v>246</v>
      </c>
      <c r="F13" s="15" t="s">
        <v>24</v>
      </c>
      <c r="G13" s="15" t="s">
        <v>116</v>
      </c>
      <c r="H13" s="15"/>
      <c r="I13" s="15"/>
    </row>
  </sheetData>
  <phoneticPr fontId="3" type="noConversion"/>
  <dataValidations count="2">
    <dataValidation type="list" allowBlank="1" error="请选择 P0、P1 或 P2" sqref="F2:F13" xr:uid="{00000000-0002-0000-0300-000000000000}">
      <formula1>"P0,P1,P2"</formula1>
    </dataValidation>
    <dataValidation type="list" allowBlank="1" error="请选择有效状态" sqref="G2:G13" xr:uid="{00000000-0002-0000-0300-000001000000}">
      <formula1>"待测试,通过,失败,跳过"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v0.1.0</vt:lpstr>
      <vt:lpstr>v0.1.1</vt:lpstr>
      <vt:lpstr>汇总</vt:lpstr>
      <vt:lpstr>v0.2.0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JingYan Wang</cp:lastModifiedBy>
  <dcterms:created xsi:type="dcterms:W3CDTF">2026-05-11T01:48:41Z</dcterms:created>
  <dcterms:modified xsi:type="dcterms:W3CDTF">2026-05-11T03:27:54Z</dcterms:modified>
</cp:coreProperties>
</file>